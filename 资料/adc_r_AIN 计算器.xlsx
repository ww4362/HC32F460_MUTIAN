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436\Documents\GitHub\PC_power_detect\资料\"/>
    </mc:Choice>
  </mc:AlternateContent>
  <xr:revisionPtr revIDLastSave="0" documentId="13_ncr:1_{AE141946-DCE5-4F52-9B22-45FDE9E8D62E}" xr6:coauthVersionLast="47" xr6:coauthVersionMax="47" xr10:uidLastSave="{00000000-0000-0000-0000-000000000000}"/>
  <bookViews>
    <workbookView xWindow="-120" yWindow="-120" windowWidth="21840" windowHeight="13020" xr2:uid="{D52F932F-0401-4095-B532-9B166E5DE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4" i="1" l="1"/>
  <c r="B35" i="1"/>
  <c r="B33" i="1"/>
  <c r="B40" i="1"/>
  <c r="B41" i="1" s="1"/>
  <c r="B103" i="1"/>
  <c r="B81" i="1"/>
  <c r="B88" i="1"/>
  <c r="B72" i="1"/>
  <c r="B71" i="1"/>
  <c r="B54" i="1"/>
  <c r="B53" i="1"/>
  <c r="B22" i="1"/>
  <c r="B26" i="1"/>
  <c r="B25" i="1"/>
  <c r="B8" i="1"/>
  <c r="B7" i="1"/>
  <c r="B6" i="1"/>
  <c r="B55" i="1" l="1"/>
  <c r="B24" i="1"/>
  <c r="B27" i="1" s="1"/>
  <c r="C25" i="1"/>
</calcChain>
</file>

<file path=xl/sharedStrings.xml><?xml version="1.0" encoding="utf-8"?>
<sst xmlns="http://schemas.openxmlformats.org/spreadsheetml/2006/main" count="76" uniqueCount="58">
  <si>
    <t>K</t>
    <phoneticPr fontId="1" type="noConversion"/>
  </si>
  <si>
    <t>F_ADC</t>
    <phoneticPr fontId="1" type="noConversion"/>
  </si>
  <si>
    <t>ADC的时钟频率</t>
    <phoneticPr fontId="1" type="noConversion"/>
  </si>
  <si>
    <t>C_ADC</t>
    <phoneticPr fontId="1" type="noConversion"/>
  </si>
  <si>
    <t>N</t>
    <phoneticPr fontId="1" type="noConversion"/>
  </si>
  <si>
    <t>adc 分辨率</t>
    <phoneticPr fontId="1" type="noConversion"/>
  </si>
  <si>
    <t>R_ADC</t>
    <phoneticPr fontId="1" type="noConversion"/>
  </si>
  <si>
    <t>固定值6kΩ</t>
    <phoneticPr fontId="1" type="noConversion"/>
  </si>
  <si>
    <t>采样周期 ADC_SSTR 寄存器的值 最低是5 最高255</t>
    <phoneticPr fontId="1" type="noConversion"/>
  </si>
  <si>
    <t>R_AIN</t>
    <phoneticPr fontId="1" type="noConversion"/>
  </si>
  <si>
    <t>输入阻值</t>
    <phoneticPr fontId="1" type="noConversion"/>
  </si>
  <si>
    <t>固定值 4-7pf  单位 pf</t>
    <phoneticPr fontId="1" type="noConversion"/>
  </si>
  <si>
    <t xml:space="preserve">adc采样率 单位Msps </t>
    <phoneticPr fontId="1" type="noConversion"/>
  </si>
  <si>
    <t>adc采样时间  单位 uS</t>
    <phoneticPr fontId="1" type="noConversion"/>
  </si>
  <si>
    <t>运放计算器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</si>
  <si>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</si>
  <si>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</si>
  <si>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</si>
  <si>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</si>
  <si>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</si>
  <si>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运放输入电压</t>
    <phoneticPr fontId="1" type="noConversion"/>
  </si>
  <si>
    <t>输入电压</t>
    <phoneticPr fontId="1" type="noConversion"/>
  </si>
  <si>
    <t>VREF</t>
    <phoneticPr fontId="1" type="noConversion"/>
  </si>
  <si>
    <t>运放输出电压</t>
    <phoneticPr fontId="1" type="noConversion"/>
  </si>
  <si>
    <t>VIN分压后电压</t>
    <phoneticPr fontId="1" type="noConversion"/>
  </si>
  <si>
    <t>VREF 分压后电压</t>
    <phoneticPr fontId="1" type="noConversion"/>
  </si>
  <si>
    <t>放大倍数</t>
    <phoneticPr fontId="1" type="noConversion"/>
  </si>
  <si>
    <t>输入0v时 要到0.825</t>
    <phoneticPr fontId="1" type="noConversion"/>
  </si>
  <si>
    <t>输出电压</t>
    <phoneticPr fontId="1" type="noConversion"/>
  </si>
  <si>
    <t>增益(db)</t>
    <phoneticPr fontId="1" type="noConversion"/>
  </si>
  <si>
    <t>偏置电压计算</t>
    <phoneticPr fontId="1" type="noConversion"/>
  </si>
  <si>
    <t>R6</t>
    <phoneticPr fontId="1" type="noConversion"/>
  </si>
  <si>
    <t>R7</t>
    <phoneticPr fontId="1" type="noConversion"/>
  </si>
  <si>
    <t>偏置电压</t>
    <phoneticPr fontId="1" type="noConversion"/>
  </si>
  <si>
    <t>输入电压叠加电压</t>
    <phoneticPr fontId="1" type="noConversion"/>
  </si>
  <si>
    <t>偏置电压叠加电压</t>
    <phoneticPr fontId="1" type="noConversion"/>
  </si>
  <si>
    <t>倍数对应增益计算器</t>
    <phoneticPr fontId="1" type="noConversion"/>
  </si>
  <si>
    <t>典型负反馈运算放大器</t>
    <phoneticPr fontId="1" type="noConversion"/>
  </si>
  <si>
    <t>VIN</t>
    <phoneticPr fontId="1" type="noConversion"/>
  </si>
  <si>
    <t>VOUT</t>
    <phoneticPr fontId="1" type="noConversion"/>
  </si>
  <si>
    <t>通用fb输出电压计算</t>
    <phoneticPr fontId="1" type="noConversion"/>
  </si>
  <si>
    <t>FB电压</t>
    <phoneticPr fontId="1" type="noConversion"/>
  </si>
  <si>
    <t>上电阻</t>
    <phoneticPr fontId="1" type="noConversion"/>
  </si>
  <si>
    <t>下电阻</t>
    <phoneticPr fontId="1" type="noConversion"/>
  </si>
  <si>
    <t xml:space="preserve">串联分压计算器 </t>
    <phoneticPr fontId="1" type="noConversion"/>
  </si>
  <si>
    <t>431计算器</t>
    <phoneticPr fontId="1" type="noConversion"/>
  </si>
  <si>
    <t>431VERF</t>
    <phoneticPr fontId="1" type="noConversion"/>
  </si>
  <si>
    <t>限流电阻</t>
    <phoneticPr fontId="1" type="noConversion"/>
  </si>
  <si>
    <t>最大输出电流</t>
    <phoneticPr fontId="1" type="noConversion"/>
  </si>
  <si>
    <t>压摆率计算器</t>
    <phoneticPr fontId="1" type="noConversion"/>
  </si>
  <si>
    <t>输出信号最大幅值</t>
    <phoneticPr fontId="1" type="noConversion"/>
  </si>
  <si>
    <t>输出信号最大频率</t>
    <phoneticPr fontId="1" type="noConversion"/>
  </si>
  <si>
    <t>需要压摆率(ms)</t>
    <phoneticPr fontId="1" type="noConversion"/>
  </si>
  <si>
    <t>需要压摆率(us)</t>
    <phoneticPr fontId="1" type="noConversion"/>
  </si>
  <si>
    <t>倍数</t>
    <phoneticPr fontId="1" type="noConversion"/>
  </si>
  <si>
    <t>增益(手动输入）</t>
    <phoneticPr fontId="1" type="noConversion"/>
  </si>
  <si>
    <t>并联电阻计算器</t>
    <phoneticPr fontId="1" type="noConversion"/>
  </si>
  <si>
    <t>实际电阻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</si>
</sst>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0</xdr:rowOff>
    </xdr:from>
    <xdr:to>
      <xdr:col>15</xdr:col>
      <xdr:colOff>227800</xdr:colOff>
      <xdr:row>37</xdr:row>
      <xdr:rowOff>8936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911C440-E41D-2A4A-70FF-5086EA435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4150" y="1990725"/>
          <a:ext cx="6400000" cy="471428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11</xdr:col>
      <xdr:colOff>504333</xdr:colOff>
      <xdr:row>64</xdr:row>
      <xdr:rowOff>37709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F884B15-0CA6-9382-052C-55487E68D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4150" y="7239000"/>
          <a:ext cx="3933333" cy="312380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12</xdr:col>
      <xdr:colOff>647105</xdr:colOff>
      <xdr:row>75</xdr:row>
      <xdr:rowOff>66463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F9E8218-3EC5-3E35-6672-B84D22D55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4150" y="10687050"/>
          <a:ext cx="4761905" cy="169523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83</xdr:row>
      <xdr:rowOff>1</xdr:rowOff>
    </xdr:from>
    <xdr:to>
      <xdr:col>7</xdr:col>
      <xdr:colOff>219075</xdr:colOff>
      <xdr:row>90</xdr:row>
      <xdr:rowOff>150370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E71A7CD-3942-F6D4-19AB-133D984CB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4150" y="13763626"/>
          <a:ext cx="904875" cy="141719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11</xdr:col>
      <xdr:colOff>134781</xdr:colOff>
      <xdr:row>108</xdr:row>
      <xdr:rowOff>47625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6F144EA-0AED-629C-6739-B06591D6C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34150" y="15754350"/>
          <a:ext cx="3563781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5A17-B9F0-42E9-9FE9-9478E689893F}">
  <dimension ref="A1:C106"/>
  <sheetViews>
    <sheetView tabSelected="1" topLeftCell="A75" workbookViewId="0">
      <selection activeCell="B88" sqref="B88"/>
    </sheetView>
  </sheetViews>
  <sheetFormatPr defaultRowHeight="14.25" x14ac:dyDescent="0.2"/>
  <cols>
    <col min="1" max="1" width="19" customWidth="1"/>
    <col min="2" max="2" width="15.75" customWidth="1"/>
    <col min="3" max="3" width="24" customWidth="1"/>
  </cols>
  <sheetData>
    <row r="1" spans="1:3" x14ac:dyDescent="0.2">
      <c r="A1" t="s">
        <v>0</v>
      </c>
      <c r="B1">
        <v>26</v>
      </c>
      <c r="C1" t="s">
        <v>8</v>
      </c>
    </row>
    <row r="2" spans="1:3" x14ac:dyDescent="0.2">
      <c r="A2" t="s">
        <v>1</v>
      </c>
      <c r="B2">
        <v>50000000</v>
      </c>
      <c r="C2" t="s">
        <v>2</v>
      </c>
    </row>
    <row r="3" spans="1:3" x14ac:dyDescent="0.2">
      <c r="A3" t="s">
        <v>3</v>
      </c>
      <c r="B3">
        <v>7</v>
      </c>
      <c r="C3" t="s">
        <v>11</v>
      </c>
    </row>
    <row r="4" spans="1:3" x14ac:dyDescent="0.2">
      <c r="A4" t="s">
        <v>4</v>
      </c>
      <c r="B4">
        <v>12</v>
      </c>
      <c r="C4" t="s">
        <v>5</v>
      </c>
    </row>
    <row r="5" spans="1:3" x14ac:dyDescent="0.2">
      <c r="A5" t="s">
        <v>6</v>
      </c>
      <c r="B5">
        <v>6000</v>
      </c>
      <c r="C5" t="s">
        <v>7</v>
      </c>
    </row>
    <row r="6" spans="1:3" x14ac:dyDescent="0.2">
      <c r="A6" t="s">
        <v>9</v>
      </c>
      <c r="B6">
        <f xml:space="preserve"> ( (B1-1) / (B2 * (B3/1000000000000) * LN(2^(B4+2))) ) - B5</f>
        <v>1360.6889841273651</v>
      </c>
      <c r="C6" t="s">
        <v>10</v>
      </c>
    </row>
    <row r="7" spans="1:3" x14ac:dyDescent="0.2">
      <c r="B7">
        <f>B2/B1/1000000</f>
        <v>1.9230769230769229</v>
      </c>
      <c r="C7" t="s">
        <v>12</v>
      </c>
    </row>
    <row r="8" spans="1:3" x14ac:dyDescent="0.2">
      <c r="B8">
        <f>(1/B2)*B1*1000000</f>
        <v>0.52</v>
      </c>
      <c r="C8" t="s">
        <v>13</v>
      </c>
    </row>
    <row r="13" spans="1:3" x14ac:dyDescent="0.2">
      <c r="A13" t="s">
        <v>14</v>
      </c>
    </row>
    <row r="14" spans="1:3" x14ac:dyDescent="0.2">
      <c r="A14" t="s">
        <v>22</v>
      </c>
      <c r="B14">
        <v>3.3</v>
      </c>
    </row>
    <row r="15" spans="1:3" x14ac:dyDescent="0.2">
      <c r="A15" t="s">
        <v>21</v>
      </c>
      <c r="B15">
        <v>0</v>
      </c>
    </row>
    <row r="16" spans="1:3" x14ac:dyDescent="0.2">
      <c r="A16" t="s">
        <v>15</v>
      </c>
      <c r="B16">
        <v>50</v>
      </c>
    </row>
    <row r="17" spans="1:3" x14ac:dyDescent="0.2">
      <c r="A17" t="s">
        <v>16</v>
      </c>
      <c r="B17">
        <v>50</v>
      </c>
    </row>
    <row r="19" spans="1:3" x14ac:dyDescent="0.2">
      <c r="A19" t="s">
        <v>17</v>
      </c>
      <c r="B19">
        <v>180</v>
      </c>
    </row>
    <row r="20" spans="1:3" x14ac:dyDescent="0.2">
      <c r="A20" t="s">
        <v>18</v>
      </c>
      <c r="B20">
        <v>27</v>
      </c>
    </row>
    <row r="21" spans="1:3" x14ac:dyDescent="0.2">
      <c r="A21" t="s">
        <v>19</v>
      </c>
      <c r="B21">
        <v>10</v>
      </c>
    </row>
    <row r="22" spans="1:3" x14ac:dyDescent="0.2">
      <c r="A22" t="s">
        <v>26</v>
      </c>
      <c r="B22">
        <f>(B16+B17)/B17</f>
        <v>2</v>
      </c>
    </row>
    <row r="24" spans="1:3" x14ac:dyDescent="0.2">
      <c r="A24" t="s">
        <v>20</v>
      </c>
      <c r="B24">
        <f>B25+B26</f>
        <v>0.8571428571428571</v>
      </c>
      <c r="C24" t="s">
        <v>27</v>
      </c>
    </row>
    <row r="25" spans="1:3" x14ac:dyDescent="0.2">
      <c r="A25" t="s">
        <v>25</v>
      </c>
      <c r="B25">
        <f>B14*1/(1/B19+1/B21)/(1/(1/B19+1/B21)+B20)</f>
        <v>0.8571428571428571</v>
      </c>
      <c r="C25" s="1">
        <f>B25+B26</f>
        <v>0.8571428571428571</v>
      </c>
    </row>
    <row r="26" spans="1:3" x14ac:dyDescent="0.2">
      <c r="A26" t="s">
        <v>24</v>
      </c>
      <c r="B26">
        <f>B15*1/(1/B21+1/B20)/(1/(1/B21+1/B20)+B19)</f>
        <v>0</v>
      </c>
      <c r="C26" s="1"/>
    </row>
    <row r="27" spans="1:3" x14ac:dyDescent="0.2">
      <c r="A27" t="s">
        <v>23</v>
      </c>
      <c r="B27">
        <f>(1+B16/B17)*B24</f>
        <v>1.7142857142857142</v>
      </c>
    </row>
    <row r="30" spans="1:3" x14ac:dyDescent="0.2">
      <c r="A30" t="s">
        <v>36</v>
      </c>
    </row>
    <row r="31" spans="1:3" x14ac:dyDescent="0.2">
      <c r="A31" t="s">
        <v>21</v>
      </c>
      <c r="B31">
        <v>1</v>
      </c>
    </row>
    <row r="32" spans="1:3" x14ac:dyDescent="0.2">
      <c r="A32" t="s">
        <v>28</v>
      </c>
      <c r="B32">
        <v>100</v>
      </c>
    </row>
    <row r="33" spans="1:2" x14ac:dyDescent="0.2">
      <c r="A33" t="s">
        <v>29</v>
      </c>
      <c r="B33">
        <f>20*LOG10(B32/B31)</f>
        <v>40</v>
      </c>
    </row>
    <row r="34" spans="1:2" x14ac:dyDescent="0.2">
      <c r="A34" t="s">
        <v>55</v>
      </c>
      <c r="B34">
        <v>-3</v>
      </c>
    </row>
    <row r="35" spans="1:2" x14ac:dyDescent="0.2">
      <c r="A35" t="s">
        <v>54</v>
      </c>
      <c r="B35">
        <f>10^(B34/20)</f>
        <v>0.70794578438413791</v>
      </c>
    </row>
    <row r="37" spans="1:2" x14ac:dyDescent="0.2">
      <c r="A37" t="s">
        <v>49</v>
      </c>
    </row>
    <row r="38" spans="1:2" x14ac:dyDescent="0.2">
      <c r="A38" t="s">
        <v>50</v>
      </c>
      <c r="B38">
        <v>5.4</v>
      </c>
    </row>
    <row r="39" spans="1:2" x14ac:dyDescent="0.2">
      <c r="A39" t="s">
        <v>51</v>
      </c>
      <c r="B39">
        <v>50000</v>
      </c>
    </row>
    <row r="40" spans="1:2" x14ac:dyDescent="0.2">
      <c r="A40" t="s">
        <v>52</v>
      </c>
      <c r="B40">
        <f>2*PI()*B38*B39/1000</f>
        <v>1696.4600329384882</v>
      </c>
    </row>
    <row r="41" spans="1:2" x14ac:dyDescent="0.2">
      <c r="A41" t="s">
        <v>53</v>
      </c>
      <c r="B41">
        <f>B40/1000</f>
        <v>1.6964600329384882</v>
      </c>
    </row>
    <row r="47" spans="1:2" x14ac:dyDescent="0.2">
      <c r="A47" t="s">
        <v>30</v>
      </c>
    </row>
    <row r="48" spans="1:2" x14ac:dyDescent="0.2">
      <c r="A48" t="s">
        <v>21</v>
      </c>
      <c r="B48">
        <v>-20</v>
      </c>
    </row>
    <row r="49" spans="1:2" x14ac:dyDescent="0.2">
      <c r="A49" t="s">
        <v>19</v>
      </c>
      <c r="B49">
        <v>10000</v>
      </c>
    </row>
    <row r="50" spans="1:2" x14ac:dyDescent="0.2">
      <c r="A50" t="s">
        <v>31</v>
      </c>
      <c r="B50">
        <v>1000</v>
      </c>
    </row>
    <row r="51" spans="1:2" x14ac:dyDescent="0.2">
      <c r="A51" t="s">
        <v>32</v>
      </c>
      <c r="B51">
        <v>1000</v>
      </c>
    </row>
    <row r="52" spans="1:2" ht="15" customHeight="1" x14ac:dyDescent="0.2">
      <c r="A52" t="s">
        <v>33</v>
      </c>
      <c r="B52">
        <v>2.7</v>
      </c>
    </row>
    <row r="53" spans="1:2" x14ac:dyDescent="0.2">
      <c r="A53" t="s">
        <v>35</v>
      </c>
      <c r="B53">
        <f>B52*(1/(1/B49+1/B51))/(1/(1/B49+1/B51)+B50)</f>
        <v>1.2857142857142858</v>
      </c>
    </row>
    <row r="54" spans="1:2" x14ac:dyDescent="0.2">
      <c r="A54" t="s">
        <v>34</v>
      </c>
      <c r="B54">
        <f>B48*(1/(1/B50+1/B51))/(1/(1/B50+1/B51)+B49)</f>
        <v>-0.95238095238095233</v>
      </c>
    </row>
    <row r="55" spans="1:2" x14ac:dyDescent="0.2">
      <c r="A55" t="s">
        <v>28</v>
      </c>
      <c r="B55">
        <f>B53+B54</f>
        <v>0.33333333333333348</v>
      </c>
    </row>
    <row r="67" spans="1:2" x14ac:dyDescent="0.2">
      <c r="A67" t="s">
        <v>37</v>
      </c>
    </row>
    <row r="68" spans="1:2" x14ac:dyDescent="0.2">
      <c r="A68" t="s">
        <v>38</v>
      </c>
      <c r="B68">
        <v>3</v>
      </c>
    </row>
    <row r="69" spans="1:2" x14ac:dyDescent="0.2">
      <c r="A69" t="s">
        <v>16</v>
      </c>
      <c r="B69">
        <v>150</v>
      </c>
    </row>
    <row r="70" spans="1:2" x14ac:dyDescent="0.2">
      <c r="A70" t="s">
        <v>15</v>
      </c>
      <c r="B70">
        <v>150</v>
      </c>
    </row>
    <row r="71" spans="1:2" x14ac:dyDescent="0.2">
      <c r="A71" t="s">
        <v>39</v>
      </c>
      <c r="B71">
        <f>(B69+B70)/B70*B68</f>
        <v>6</v>
      </c>
    </row>
    <row r="72" spans="1:2" x14ac:dyDescent="0.2">
      <c r="A72" t="s">
        <v>26</v>
      </c>
      <c r="B72">
        <f>(B70+B69)/B70</f>
        <v>2</v>
      </c>
    </row>
    <row r="77" spans="1:2" x14ac:dyDescent="0.2">
      <c r="A77" t="s">
        <v>40</v>
      </c>
    </row>
    <row r="78" spans="1:2" x14ac:dyDescent="0.2">
      <c r="A78" t="s">
        <v>41</v>
      </c>
      <c r="B78">
        <v>1.2</v>
      </c>
    </row>
    <row r="79" spans="1:2" x14ac:dyDescent="0.2">
      <c r="A79" t="s">
        <v>42</v>
      </c>
      <c r="B79">
        <v>1</v>
      </c>
    </row>
    <row r="80" spans="1:2" x14ac:dyDescent="0.2">
      <c r="A80" t="s">
        <v>43</v>
      </c>
      <c r="B80">
        <v>7.5</v>
      </c>
    </row>
    <row r="81" spans="1:2" x14ac:dyDescent="0.2">
      <c r="A81" t="s">
        <v>28</v>
      </c>
      <c r="B81">
        <f>B78*(B79+B80)/B80</f>
        <v>1.3599999999999999</v>
      </c>
    </row>
    <row r="84" spans="1:2" x14ac:dyDescent="0.2">
      <c r="A84" t="s">
        <v>44</v>
      </c>
    </row>
    <row r="85" spans="1:2" x14ac:dyDescent="0.2">
      <c r="A85" t="s">
        <v>38</v>
      </c>
      <c r="B85">
        <v>4.5</v>
      </c>
    </row>
    <row r="86" spans="1:2" x14ac:dyDescent="0.2">
      <c r="A86" t="s">
        <v>15</v>
      </c>
      <c r="B86">
        <v>3.3</v>
      </c>
    </row>
    <row r="87" spans="1:2" x14ac:dyDescent="0.2">
      <c r="A87" t="s">
        <v>16</v>
      </c>
      <c r="B87">
        <v>5.0999999999999996</v>
      </c>
    </row>
    <row r="88" spans="1:2" x14ac:dyDescent="0.2">
      <c r="A88" t="s">
        <v>39</v>
      </c>
      <c r="B88">
        <f>B85*B87/(B86+B87)</f>
        <v>2.7321428571428577</v>
      </c>
    </row>
    <row r="90" spans="1:2" x14ac:dyDescent="0.2">
      <c r="A90" t="s">
        <v>56</v>
      </c>
    </row>
    <row r="91" spans="1:2" x14ac:dyDescent="0.2">
      <c r="A91" t="s">
        <v>15</v>
      </c>
      <c r="B91">
        <v>1</v>
      </c>
    </row>
    <row r="92" spans="1:2" x14ac:dyDescent="0.2">
      <c r="A92" t="s">
        <v>16</v>
      </c>
      <c r="B92">
        <v>100</v>
      </c>
    </row>
    <row r="94" spans="1:2" x14ac:dyDescent="0.2">
      <c r="A94" t="s">
        <v>57</v>
      </c>
      <c r="B94">
        <f>1/(1/B91+1/B92)</f>
        <v>0.99009900990099009</v>
      </c>
    </row>
    <row r="99" spans="1:2" x14ac:dyDescent="0.2">
      <c r="A99" t="s">
        <v>45</v>
      </c>
    </row>
    <row r="100" spans="1:2" x14ac:dyDescent="0.2">
      <c r="A100" t="s">
        <v>15</v>
      </c>
      <c r="B100">
        <v>10</v>
      </c>
    </row>
    <row r="101" spans="1:2" x14ac:dyDescent="0.2">
      <c r="A101" t="s">
        <v>16</v>
      </c>
      <c r="B101">
        <v>120</v>
      </c>
    </row>
    <row r="102" spans="1:2" x14ac:dyDescent="0.2">
      <c r="A102" t="s">
        <v>46</v>
      </c>
      <c r="B102">
        <v>2.5</v>
      </c>
    </row>
    <row r="103" spans="1:2" x14ac:dyDescent="0.2">
      <c r="A103" t="s">
        <v>39</v>
      </c>
      <c r="B103">
        <f>((1+(B100/B101))*B102)</f>
        <v>2.708333333333333</v>
      </c>
    </row>
    <row r="104" spans="1:2" x14ac:dyDescent="0.2">
      <c r="A104" t="s">
        <v>21</v>
      </c>
    </row>
    <row r="105" spans="1:2" x14ac:dyDescent="0.2">
      <c r="A105" t="s">
        <v>47</v>
      </c>
    </row>
    <row r="106" spans="1:2" x14ac:dyDescent="0.2">
      <c r="A106" t="s">
        <v>48</v>
      </c>
    </row>
  </sheetData>
  <mergeCells count="1">
    <mergeCell ref="C25:C2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你玩 逗</dc:creator>
  <cp:lastModifiedBy>你玩 逗</cp:lastModifiedBy>
  <dcterms:created xsi:type="dcterms:W3CDTF">2025-09-09T17:30:35Z</dcterms:created>
  <dcterms:modified xsi:type="dcterms:W3CDTF">2025-12-07T14:30:34Z</dcterms:modified>
</cp:coreProperties>
</file>